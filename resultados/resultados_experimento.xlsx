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y\Documents\Maestria en Software\Tesis\Nueva carpeta\microfrontends\resultados\"/>
    </mc:Choice>
  </mc:AlternateContent>
  <xr:revisionPtr revIDLastSave="0" documentId="13_ncr:1_{ACF5E85D-454D-4FE0-BBE0-E88ED71461C1}" xr6:coauthVersionLast="47" xr6:coauthVersionMax="47" xr10:uidLastSave="{00000000-0000-0000-0000-000000000000}"/>
  <bookViews>
    <workbookView xWindow="-108" yWindow="-108" windowWidth="23256" windowHeight="12456" firstSheet="1" activeTab="2" xr2:uid="{453D5786-DA48-4DC2-952C-09B1634D4732}"/>
  </bookViews>
  <sheets>
    <sheet name="Configuración Experimental" sheetId="1" r:id="rId1"/>
    <sheet name="Metricas Estaticas" sheetId="2" r:id="rId2"/>
    <sheet name="Métricas Dinámicas" sheetId="3" r:id="rId3"/>
    <sheet name="Promedios Final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3" i="2" l="1"/>
  <c r="H12" i="2"/>
  <c r="G13" i="2"/>
  <c r="G12" i="2"/>
  <c r="F13" i="2"/>
  <c r="F12" i="2"/>
  <c r="E13" i="2"/>
  <c r="E12" i="2"/>
  <c r="C13" i="2"/>
  <c r="C12" i="2"/>
  <c r="N18" i="3"/>
  <c r="O18" i="3"/>
  <c r="P18" i="3"/>
  <c r="Q18" i="3"/>
  <c r="R18" i="3"/>
  <c r="M18" i="3"/>
  <c r="N9" i="3"/>
  <c r="O9" i="3"/>
  <c r="P9" i="3"/>
  <c r="Q9" i="3"/>
  <c r="R9" i="3"/>
  <c r="M9" i="3"/>
  <c r="F82" i="3"/>
  <c r="G82" i="3"/>
  <c r="E82" i="3"/>
  <c r="F74" i="3"/>
  <c r="G74" i="3"/>
  <c r="E74" i="3"/>
  <c r="F66" i="3"/>
  <c r="G66" i="3"/>
  <c r="E66" i="3"/>
  <c r="F58" i="3"/>
  <c r="G58" i="3"/>
  <c r="E58" i="3"/>
  <c r="F48" i="3"/>
  <c r="G48" i="3"/>
  <c r="E48" i="3"/>
  <c r="F40" i="3"/>
  <c r="G40" i="3"/>
  <c r="E40" i="3"/>
  <c r="F32" i="3"/>
  <c r="G32" i="3"/>
  <c r="E32" i="3"/>
  <c r="F24" i="3"/>
  <c r="G24" i="3"/>
  <c r="E24" i="3"/>
  <c r="G3" i="2"/>
  <c r="G4" i="2"/>
  <c r="G5" i="2"/>
  <c r="G6" i="2"/>
  <c r="G7" i="2"/>
  <c r="G8" i="2"/>
  <c r="G9" i="2"/>
  <c r="G2" i="2"/>
</calcChain>
</file>

<file path=xl/sharedStrings.xml><?xml version="1.0" encoding="utf-8"?>
<sst xmlns="http://schemas.openxmlformats.org/spreadsheetml/2006/main" count="380" uniqueCount="84">
  <si>
    <t>Arquitectura</t>
  </si>
  <si>
    <t>Componente</t>
  </si>
  <si>
    <t>Avg CPU (%)</t>
  </si>
  <si>
    <t>Avg Response (ms)</t>
  </si>
  <si>
    <t>Avg Lighthouse</t>
  </si>
  <si>
    <t>Avg Recovery (s)</t>
  </si>
  <si>
    <t>MF</t>
  </si>
  <si>
    <t>Host</t>
  </si>
  <si>
    <t>MF-A</t>
  </si>
  <si>
    <t>MF-B</t>
  </si>
  <si>
    <t>MF-C</t>
  </si>
  <si>
    <t>SPA</t>
  </si>
  <si>
    <t>Parámetro</t>
  </si>
  <si>
    <t>Valor</t>
  </si>
  <si>
    <t>Repeticiones por escenario</t>
  </si>
  <si>
    <t>Arquitecturas evaluadas</t>
  </si>
  <si>
    <t>Module Federation / single-spa</t>
  </si>
  <si>
    <t>Frameworks</t>
  </si>
  <si>
    <t>Angular 21.1.0 / React 19.2.0 / Vue 3.5.24</t>
  </si>
  <si>
    <t>Infraestructura</t>
  </si>
  <si>
    <t>Kubernetes local</t>
  </si>
  <si>
    <t>Réplicas</t>
  </si>
  <si>
    <t>Node.js</t>
  </si>
  <si>
    <t>24.13.0</t>
  </si>
  <si>
    <t>Docker</t>
  </si>
  <si>
    <t>29.4.0</t>
  </si>
  <si>
    <t>Kubernetes</t>
  </si>
  <si>
    <t>v1.34.3</t>
  </si>
  <si>
    <t>Sonar</t>
  </si>
  <si>
    <t>SonarCloud</t>
  </si>
  <si>
    <t>Tipo de aplicación</t>
  </si>
  <si>
    <t>CRUD simple</t>
  </si>
  <si>
    <t>Persistencia</t>
  </si>
  <si>
    <t>memoria local</t>
  </si>
  <si>
    <t>Complejidad Ciclomática</t>
  </si>
  <si>
    <t>Duplicación (%)</t>
  </si>
  <si>
    <t>Maintainability Rating</t>
  </si>
  <si>
    <t>Bundle Size (KB)</t>
  </si>
  <si>
    <t>Smoke Test</t>
  </si>
  <si>
    <t>PASS</t>
  </si>
  <si>
    <t>Module Federation</t>
  </si>
  <si>
    <t>single-spa</t>
  </si>
  <si>
    <t>FASE A — Métricas de Build/Deploy (COLD START)</t>
  </si>
  <si>
    <t>FASE B — Métricas de Escalabilidad/Runtime</t>
  </si>
  <si>
    <t xml:space="preserve">ESCENARIOS </t>
  </si>
  <si>
    <t>Métricas Cold Start / Infraestructura</t>
  </si>
  <si>
    <t>Repetición</t>
  </si>
  <si>
    <t>Build Time</t>
  </si>
  <si>
    <t>Docker Build</t>
  </si>
  <si>
    <t>Deploy Time</t>
  </si>
  <si>
    <t>Métricas Runtime Integradas</t>
  </si>
  <si>
    <t>Navegación OK</t>
  </si>
  <si>
    <t>A</t>
  </si>
  <si>
    <t>D</t>
  </si>
  <si>
    <t>Reliability</t>
  </si>
  <si>
    <t>B</t>
  </si>
  <si>
    <t>SINGLE-SPA</t>
  </si>
  <si>
    <t>Framework</t>
  </si>
  <si>
    <t>mf-a</t>
  </si>
  <si>
    <t>Angular 21</t>
  </si>
  <si>
    <t>mf-b</t>
  </si>
  <si>
    <t>React 19</t>
  </si>
  <si>
    <t>mf-c</t>
  </si>
  <si>
    <t>Vue 3</t>
  </si>
  <si>
    <t>host</t>
  </si>
  <si>
    <t>Promedio</t>
  </si>
  <si>
    <t>Lines Code</t>
  </si>
  <si>
    <t>Densidad defectos</t>
  </si>
  <si>
    <t>Issues</t>
  </si>
  <si>
    <t>Response Time (ms)</t>
  </si>
  <si>
    <t>CPU Avg (%)</t>
  </si>
  <si>
    <t>Lighthouse (0-100)</t>
  </si>
  <si>
    <t>FCP (ms)</t>
  </si>
  <si>
    <t>LCP (ms)</t>
  </si>
  <si>
    <t>Recovery Time (ms)</t>
  </si>
  <si>
    <t>Avg Build (ms)</t>
  </si>
  <si>
    <t>Avg Deploy (ms)</t>
  </si>
  <si>
    <t>Avg Docker Build (ms)</t>
  </si>
  <si>
    <t>Avg Memory (GB)</t>
  </si>
  <si>
    <t>Memory Avg  (GB)</t>
  </si>
  <si>
    <t>ARQUITECTURA: MODULE FEDERATION</t>
  </si>
  <si>
    <t>ARQUITECTURA:SINGLE SPA</t>
  </si>
  <si>
    <t>ARQUITECTURA: SINGLE-SPA</t>
  </si>
  <si>
    <t>ARQUITECTURA:MODULE FEDERATION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</si>
</sst>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/>
    <xf numFmtId="0" fontId="1" fillId="0" borderId="1" xfId="0" applyFont="1" applyBorder="1"/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164" fontId="0" fillId="0" borderId="1" xfId="0" applyNumberFormat="1" applyBorder="1" applyAlignment="1">
      <alignment vertical="center"/>
    </xf>
    <xf numFmtId="2" fontId="0" fillId="0" borderId="1" xfId="0" applyNumberFormat="1" applyBorder="1"/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1" fillId="0" borderId="0" xfId="0" applyFont="1" applyAlignment="1">
      <alignment horizontal="center" vertical="center"/>
    </xf>
    <xf numFmtId="3" fontId="0" fillId="0" borderId="1" xfId="0" applyNumberFormat="1" applyBorder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right" vertical="center"/>
    </xf>
    <xf numFmtId="0" fontId="1" fillId="0" borderId="0" xfId="0" applyFont="1" applyBorder="1"/>
    <xf numFmtId="0" fontId="0" fillId="0" borderId="0" xfId="0" applyBorder="1"/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2" borderId="0" xfId="0" applyFill="1"/>
    <xf numFmtId="0" fontId="1" fillId="2" borderId="0" xfId="0" applyFont="1" applyFill="1"/>
    <xf numFmtId="0" fontId="1" fillId="0" borderId="0" xfId="0" applyFont="1"/>
    <xf numFmtId="0" fontId="2" fillId="0" borderId="0" xfId="0" applyFont="1" applyAlignment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966C1-68BA-4417-BFD9-3B05D46EF3EF}">
  <dimension ref="A1:B12"/>
  <sheetViews>
    <sheetView workbookViewId="0">
      <selection activeCell="D12" sqref="D12"/>
    </sheetView>
  </sheetViews>
  <sheetFormatPr baseColWidth="10" defaultRowHeight="14.4" x14ac:dyDescent="0.3"/>
  <cols>
    <col min="1" max="1" width="24.44140625" bestFit="1" customWidth="1"/>
    <col min="2" max="2" width="35.44140625" bestFit="1" customWidth="1"/>
  </cols>
  <sheetData>
    <row r="1" spans="1:2" x14ac:dyDescent="0.3">
      <c r="A1" s="1" t="s">
        <v>12</v>
      </c>
      <c r="B1" s="1" t="s">
        <v>13</v>
      </c>
    </row>
    <row r="2" spans="1:2" x14ac:dyDescent="0.3">
      <c r="A2" s="2" t="s">
        <v>14</v>
      </c>
      <c r="B2" s="25">
        <v>5</v>
      </c>
    </row>
    <row r="3" spans="1:2" x14ac:dyDescent="0.3">
      <c r="A3" s="2" t="s">
        <v>15</v>
      </c>
      <c r="B3" s="25" t="s">
        <v>16</v>
      </c>
    </row>
    <row r="4" spans="1:2" x14ac:dyDescent="0.3">
      <c r="A4" s="2" t="s">
        <v>17</v>
      </c>
      <c r="B4" s="25" t="s">
        <v>18</v>
      </c>
    </row>
    <row r="5" spans="1:2" x14ac:dyDescent="0.3">
      <c r="A5" s="2" t="s">
        <v>19</v>
      </c>
      <c r="B5" s="25" t="s">
        <v>20</v>
      </c>
    </row>
    <row r="6" spans="1:2" x14ac:dyDescent="0.3">
      <c r="A6" s="2" t="s">
        <v>21</v>
      </c>
      <c r="B6" s="25">
        <v>2</v>
      </c>
    </row>
    <row r="7" spans="1:2" x14ac:dyDescent="0.3">
      <c r="A7" s="2" t="s">
        <v>22</v>
      </c>
      <c r="B7" s="25" t="s">
        <v>23</v>
      </c>
    </row>
    <row r="8" spans="1:2" x14ac:dyDescent="0.3">
      <c r="A8" s="2" t="s">
        <v>24</v>
      </c>
      <c r="B8" s="25" t="s">
        <v>25</v>
      </c>
    </row>
    <row r="9" spans="1:2" x14ac:dyDescent="0.3">
      <c r="A9" s="2" t="s">
        <v>26</v>
      </c>
      <c r="B9" s="25" t="s">
        <v>27</v>
      </c>
    </row>
    <row r="10" spans="1:2" x14ac:dyDescent="0.3">
      <c r="A10" s="2" t="s">
        <v>28</v>
      </c>
      <c r="B10" s="25" t="s">
        <v>29</v>
      </c>
    </row>
    <row r="11" spans="1:2" x14ac:dyDescent="0.3">
      <c r="A11" s="2" t="s">
        <v>30</v>
      </c>
      <c r="B11" s="25" t="s">
        <v>31</v>
      </c>
    </row>
    <row r="12" spans="1:2" x14ac:dyDescent="0.3">
      <c r="A12" s="2" t="s">
        <v>32</v>
      </c>
      <c r="B12" s="2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29FB-69B4-486F-8B99-4CD334F91E41}">
  <dimension ref="A1:K30"/>
  <sheetViews>
    <sheetView workbookViewId="0">
      <selection activeCell="E24" sqref="E24"/>
    </sheetView>
  </sheetViews>
  <sheetFormatPr baseColWidth="10" defaultRowHeight="14.4" x14ac:dyDescent="0.3"/>
  <cols>
    <col min="1" max="1" width="19.109375" bestFit="1" customWidth="1"/>
    <col min="2" max="2" width="11.88671875" customWidth="1"/>
    <col min="3" max="3" width="22.33203125" customWidth="1"/>
    <col min="4" max="4" width="16.44140625" customWidth="1"/>
    <col min="5" max="5" width="11.6640625" bestFit="1" customWidth="1"/>
    <col min="6" max="6" width="10" bestFit="1" customWidth="1"/>
    <col min="7" max="7" width="17.88671875" customWidth="1"/>
    <col min="8" max="8" width="20" bestFit="1" customWidth="1"/>
    <col min="9" max="9" width="15.109375" bestFit="1" customWidth="1"/>
  </cols>
  <sheetData>
    <row r="1" spans="1:11" x14ac:dyDescent="0.3">
      <c r="A1" s="1" t="s">
        <v>0</v>
      </c>
      <c r="B1" s="1" t="s">
        <v>1</v>
      </c>
      <c r="C1" s="1" t="s">
        <v>34</v>
      </c>
      <c r="D1" s="1" t="s">
        <v>35</v>
      </c>
      <c r="E1" s="1" t="s">
        <v>68</v>
      </c>
      <c r="F1" s="1" t="s">
        <v>66</v>
      </c>
      <c r="G1" s="1" t="s">
        <v>67</v>
      </c>
      <c r="H1" s="1" t="s">
        <v>36</v>
      </c>
      <c r="I1" s="1" t="s">
        <v>37</v>
      </c>
      <c r="J1" s="1" t="s">
        <v>54</v>
      </c>
      <c r="K1" s="9"/>
    </row>
    <row r="2" spans="1:11" x14ac:dyDescent="0.3">
      <c r="A2" s="2" t="s">
        <v>6</v>
      </c>
      <c r="B2" s="2" t="s">
        <v>7</v>
      </c>
      <c r="C2" s="2">
        <v>10</v>
      </c>
      <c r="D2" s="2">
        <v>0</v>
      </c>
      <c r="E2" s="2">
        <v>8</v>
      </c>
      <c r="F2" s="2">
        <v>178</v>
      </c>
      <c r="G2" s="11">
        <f>E2/F2</f>
        <v>4.49438202247191E-2</v>
      </c>
      <c r="H2" s="2" t="s">
        <v>52</v>
      </c>
      <c r="I2" s="7">
        <v>6.2</v>
      </c>
      <c r="J2" s="7" t="s">
        <v>52</v>
      </c>
    </row>
    <row r="3" spans="1:11" x14ac:dyDescent="0.3">
      <c r="A3" s="2" t="s">
        <v>6</v>
      </c>
      <c r="B3" s="2" t="s">
        <v>8</v>
      </c>
      <c r="C3" s="2">
        <v>36</v>
      </c>
      <c r="D3" s="2">
        <v>0</v>
      </c>
      <c r="E3" s="2">
        <v>8</v>
      </c>
      <c r="F3" s="2">
        <v>493</v>
      </c>
      <c r="G3" s="11">
        <f t="shared" ref="G3:G9" si="0">E3/F3</f>
        <v>1.6227180527383367E-2</v>
      </c>
      <c r="H3" s="2" t="s">
        <v>52</v>
      </c>
      <c r="I3" s="7">
        <v>567.20000000000005</v>
      </c>
      <c r="J3" s="7" t="s">
        <v>55</v>
      </c>
    </row>
    <row r="4" spans="1:11" x14ac:dyDescent="0.3">
      <c r="A4" s="2" t="s">
        <v>6</v>
      </c>
      <c r="B4" s="2" t="s">
        <v>9</v>
      </c>
      <c r="C4" s="2">
        <v>42</v>
      </c>
      <c r="D4" s="2">
        <v>0</v>
      </c>
      <c r="E4" s="2">
        <v>11</v>
      </c>
      <c r="F4" s="2">
        <v>522</v>
      </c>
      <c r="G4" s="11">
        <f t="shared" si="0"/>
        <v>2.1072796934865901E-2</v>
      </c>
      <c r="H4" s="2" t="s">
        <v>52</v>
      </c>
      <c r="I4" s="7">
        <v>225.2</v>
      </c>
      <c r="J4" s="7" t="s">
        <v>52</v>
      </c>
    </row>
    <row r="5" spans="1:11" x14ac:dyDescent="0.3">
      <c r="A5" s="2" t="s">
        <v>6</v>
      </c>
      <c r="B5" s="2" t="s">
        <v>10</v>
      </c>
      <c r="C5" s="2">
        <v>33</v>
      </c>
      <c r="D5" s="2">
        <v>0</v>
      </c>
      <c r="E5" s="2">
        <v>9</v>
      </c>
      <c r="F5" s="2">
        <v>531</v>
      </c>
      <c r="G5" s="11">
        <f t="shared" si="0"/>
        <v>1.6949152542372881E-2</v>
      </c>
      <c r="H5" s="2" t="s">
        <v>52</v>
      </c>
      <c r="I5" s="7">
        <v>139.30000000000001</v>
      </c>
      <c r="J5" s="7" t="s">
        <v>55</v>
      </c>
    </row>
    <row r="6" spans="1:11" x14ac:dyDescent="0.3">
      <c r="A6" s="2" t="s">
        <v>11</v>
      </c>
      <c r="B6" s="2" t="s">
        <v>7</v>
      </c>
      <c r="C6" s="2">
        <v>49</v>
      </c>
      <c r="D6" s="2">
        <v>0</v>
      </c>
      <c r="E6" s="2">
        <v>11</v>
      </c>
      <c r="F6" s="2">
        <v>358</v>
      </c>
      <c r="G6" s="11">
        <f t="shared" si="0"/>
        <v>3.0726256983240222E-2</v>
      </c>
      <c r="H6" s="2" t="s">
        <v>52</v>
      </c>
      <c r="I6" s="2">
        <v>31.45</v>
      </c>
      <c r="J6" s="7" t="s">
        <v>52</v>
      </c>
    </row>
    <row r="7" spans="1:11" x14ac:dyDescent="0.3">
      <c r="A7" s="2" t="s">
        <v>11</v>
      </c>
      <c r="B7" s="2" t="s">
        <v>8</v>
      </c>
      <c r="C7" s="2">
        <v>46</v>
      </c>
      <c r="D7" s="2">
        <v>0</v>
      </c>
      <c r="E7" s="2">
        <v>10</v>
      </c>
      <c r="F7" s="2">
        <v>531</v>
      </c>
      <c r="G7" s="11">
        <f t="shared" si="0"/>
        <v>1.8832391713747645E-2</v>
      </c>
      <c r="H7" s="2" t="s">
        <v>52</v>
      </c>
      <c r="I7" s="2">
        <v>173.17</v>
      </c>
      <c r="J7" s="2" t="s">
        <v>53</v>
      </c>
      <c r="K7" s="10"/>
    </row>
    <row r="8" spans="1:11" x14ac:dyDescent="0.3">
      <c r="A8" s="2" t="s">
        <v>11</v>
      </c>
      <c r="B8" s="2" t="s">
        <v>9</v>
      </c>
      <c r="C8" s="2">
        <v>62</v>
      </c>
      <c r="D8" s="2">
        <v>0</v>
      </c>
      <c r="E8" s="2">
        <v>12</v>
      </c>
      <c r="F8" s="2">
        <v>562</v>
      </c>
      <c r="G8" s="11">
        <f t="shared" si="0"/>
        <v>2.1352313167259787E-2</v>
      </c>
      <c r="H8" s="2" t="s">
        <v>52</v>
      </c>
      <c r="I8" s="2">
        <v>212.63</v>
      </c>
      <c r="J8" s="7" t="s">
        <v>52</v>
      </c>
    </row>
    <row r="9" spans="1:11" x14ac:dyDescent="0.3">
      <c r="A9" s="2" t="s">
        <v>11</v>
      </c>
      <c r="B9" s="2" t="s">
        <v>10</v>
      </c>
      <c r="C9" s="2">
        <v>50</v>
      </c>
      <c r="D9" s="2">
        <v>0</v>
      </c>
      <c r="E9" s="2">
        <v>10</v>
      </c>
      <c r="F9" s="2">
        <v>564</v>
      </c>
      <c r="G9" s="11">
        <f t="shared" si="0"/>
        <v>1.7730496453900711E-2</v>
      </c>
      <c r="H9" s="2" t="s">
        <v>52</v>
      </c>
      <c r="I9" s="2">
        <v>87.86</v>
      </c>
      <c r="J9" s="7" t="s">
        <v>55</v>
      </c>
    </row>
    <row r="11" spans="1:11" x14ac:dyDescent="0.3">
      <c r="A11" s="22"/>
      <c r="B11" s="1" t="s">
        <v>0</v>
      </c>
      <c r="C11" s="1" t="s">
        <v>34</v>
      </c>
      <c r="D11" s="1" t="s">
        <v>35</v>
      </c>
      <c r="E11" s="1" t="s">
        <v>68</v>
      </c>
      <c r="F11" s="1" t="s">
        <v>66</v>
      </c>
      <c r="G11" s="1" t="s">
        <v>67</v>
      </c>
      <c r="H11" s="1" t="s">
        <v>37</v>
      </c>
      <c r="J11" s="22"/>
    </row>
    <row r="12" spans="1:11" x14ac:dyDescent="0.3">
      <c r="A12" s="10"/>
      <c r="B12" s="2" t="s">
        <v>6</v>
      </c>
      <c r="C12" s="2">
        <f>AVERAGE(C2:C5)</f>
        <v>30.25</v>
      </c>
      <c r="D12" s="2">
        <v>0</v>
      </c>
      <c r="E12" s="2">
        <f>AVERAGE(E2:E5)</f>
        <v>9</v>
      </c>
      <c r="F12" s="2">
        <f>AVERAGE(F2:F5)</f>
        <v>431</v>
      </c>
      <c r="G12" s="11">
        <f>AVERAGE(G2:G5)</f>
        <v>2.4798237557335311E-2</v>
      </c>
      <c r="H12" s="7">
        <f>AVERAGE(I2:I5)</f>
        <v>234.47500000000002</v>
      </c>
    </row>
    <row r="13" spans="1:11" x14ac:dyDescent="0.3">
      <c r="A13" s="10"/>
      <c r="B13" s="2" t="s">
        <v>11</v>
      </c>
      <c r="C13" s="7">
        <f>AVERAGE(C6:C9)</f>
        <v>51.75</v>
      </c>
      <c r="D13" s="2">
        <v>0</v>
      </c>
      <c r="E13" s="2">
        <f>AVERAGE(E6:E9)</f>
        <v>10.75</v>
      </c>
      <c r="F13" s="2">
        <f>AVERAGE(F6:F9)</f>
        <v>503.75</v>
      </c>
      <c r="G13" s="11">
        <f>AVERAGE(G6:G9)</f>
        <v>2.216036457953709E-2</v>
      </c>
      <c r="H13" s="7">
        <f>AVERAGE(I6:I9)</f>
        <v>126.2775</v>
      </c>
    </row>
    <row r="17" spans="1:9" x14ac:dyDescent="0.3">
      <c r="A17" s="26"/>
      <c r="B17" s="26"/>
      <c r="C17" s="26"/>
      <c r="D17" s="26"/>
      <c r="E17" s="26"/>
    </row>
    <row r="18" spans="1:9" x14ac:dyDescent="0.3">
      <c r="A18" s="27"/>
      <c r="B18" s="28"/>
      <c r="C18" s="27"/>
      <c r="D18" s="27"/>
      <c r="E18" s="27"/>
    </row>
    <row r="19" spans="1:9" x14ac:dyDescent="0.3">
      <c r="A19" s="27"/>
      <c r="B19" s="28"/>
      <c r="C19" s="27"/>
      <c r="D19" s="27"/>
      <c r="E19" s="27"/>
    </row>
    <row r="20" spans="1:9" x14ac:dyDescent="0.3">
      <c r="A20" s="27"/>
      <c r="B20" s="28"/>
      <c r="C20" s="27"/>
      <c r="D20" s="27"/>
      <c r="E20" s="27"/>
    </row>
    <row r="21" spans="1:9" x14ac:dyDescent="0.3">
      <c r="A21" s="27"/>
      <c r="B21" s="29"/>
      <c r="C21" s="27"/>
      <c r="D21" s="27"/>
      <c r="E21" s="27"/>
    </row>
    <row r="22" spans="1:9" x14ac:dyDescent="0.3">
      <c r="A22" s="27"/>
      <c r="B22" s="29"/>
      <c r="C22" s="27"/>
      <c r="D22" s="27"/>
      <c r="E22" s="27"/>
    </row>
    <row r="23" spans="1:9" x14ac:dyDescent="0.3">
      <c r="A23" s="27"/>
      <c r="B23" s="30"/>
      <c r="C23" s="27"/>
      <c r="D23" s="27"/>
      <c r="E23" s="27"/>
    </row>
    <row r="24" spans="1:9" x14ac:dyDescent="0.3">
      <c r="A24" s="27"/>
      <c r="B24" s="30"/>
      <c r="C24" s="27"/>
      <c r="D24" s="27"/>
      <c r="E24" s="27"/>
    </row>
    <row r="25" spans="1:9" x14ac:dyDescent="0.3">
      <c r="A25" s="27"/>
      <c r="B25" s="30"/>
      <c r="C25" s="27"/>
      <c r="D25" s="27"/>
      <c r="E25" s="27"/>
    </row>
    <row r="26" spans="1:9" x14ac:dyDescent="0.3">
      <c r="A26" s="27"/>
      <c r="B26" s="30"/>
      <c r="C26" s="27"/>
      <c r="D26" s="27"/>
      <c r="E26" s="27"/>
    </row>
    <row r="27" spans="1:9" x14ac:dyDescent="0.3">
      <c r="A27" s="27"/>
      <c r="B27" s="28"/>
      <c r="C27" s="27"/>
      <c r="D27" s="27"/>
      <c r="E27" s="27"/>
    </row>
    <row r="28" spans="1:9" x14ac:dyDescent="0.3">
      <c r="A28" s="27"/>
      <c r="B28" s="28"/>
      <c r="C28" s="27"/>
      <c r="D28" s="27"/>
      <c r="E28" s="27"/>
    </row>
    <row r="30" spans="1:9" x14ac:dyDescent="0.3">
      <c r="I30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AE9D7-9F98-435B-9010-DA9FFF33D070}">
  <dimension ref="A1:Z82"/>
  <sheetViews>
    <sheetView tabSelected="1" workbookViewId="0">
      <selection activeCell="X2" sqref="X2"/>
    </sheetView>
  </sheetViews>
  <sheetFormatPr baseColWidth="10" defaultRowHeight="14.4" x14ac:dyDescent="0.3"/>
  <cols>
    <col min="2" max="2" width="13.5546875" customWidth="1"/>
    <col min="10" max="10" width="11.77734375" customWidth="1"/>
    <col min="11" max="11" width="12.5546875" customWidth="1"/>
    <col min="13" max="13" width="15.109375" customWidth="1"/>
    <col min="14" max="14" width="22.6640625" customWidth="1"/>
    <col min="20" max="20" width="12.77734375" customWidth="1"/>
    <col min="22" max="22" width="13" bestFit="1" customWidth="1"/>
    <col min="24" max="24" width="13" customWidth="1"/>
    <col min="25" max="25" width="17.109375" bestFit="1" customWidth="1"/>
    <col min="26" max="26" width="13" bestFit="1" customWidth="1"/>
  </cols>
  <sheetData>
    <row r="1" spans="1:26" x14ac:dyDescent="0.3">
      <c r="A1" s="32" t="s">
        <v>42</v>
      </c>
      <c r="B1" s="31"/>
      <c r="C1" s="31"/>
      <c r="D1" s="31"/>
      <c r="E1" s="31"/>
      <c r="F1" s="31"/>
      <c r="G1" s="31"/>
      <c r="J1" s="35" t="s">
        <v>43</v>
      </c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x14ac:dyDescent="0.3">
      <c r="A2" s="33" t="s">
        <v>45</v>
      </c>
      <c r="B2" s="5"/>
      <c r="C2" s="5"/>
      <c r="D2" s="5"/>
      <c r="E2" s="5"/>
      <c r="F2" s="5"/>
      <c r="G2" s="5"/>
      <c r="H2" s="5"/>
      <c r="I2" s="5"/>
      <c r="J2" s="33" t="s">
        <v>50</v>
      </c>
      <c r="K2" s="5"/>
      <c r="M2" s="5"/>
      <c r="T2" s="33" t="s">
        <v>82</v>
      </c>
      <c r="X2" s="33" t="s">
        <v>83</v>
      </c>
    </row>
    <row r="3" spans="1:26" ht="28.8" x14ac:dyDescent="0.3">
      <c r="A3" s="3" t="s">
        <v>0</v>
      </c>
      <c r="B3" s="3" t="s">
        <v>1</v>
      </c>
      <c r="C3" s="3" t="s">
        <v>46</v>
      </c>
      <c r="D3" s="3" t="s">
        <v>38</v>
      </c>
      <c r="E3" s="3" t="s">
        <v>47</v>
      </c>
      <c r="F3" s="3" t="s">
        <v>48</v>
      </c>
      <c r="G3" s="3" t="s">
        <v>49</v>
      </c>
      <c r="H3" s="6"/>
      <c r="I3" s="6"/>
      <c r="J3" s="3" t="s">
        <v>0</v>
      </c>
      <c r="K3" s="3" t="s">
        <v>46</v>
      </c>
      <c r="L3" s="3" t="s">
        <v>51</v>
      </c>
      <c r="M3" s="3" t="s">
        <v>70</v>
      </c>
      <c r="N3" s="3" t="s">
        <v>79</v>
      </c>
      <c r="O3" s="3" t="s">
        <v>69</v>
      </c>
      <c r="P3" s="3" t="s">
        <v>71</v>
      </c>
      <c r="Q3" s="3" t="s">
        <v>72</v>
      </c>
      <c r="R3" s="3" t="s">
        <v>73</v>
      </c>
      <c r="T3" s="24" t="s">
        <v>1</v>
      </c>
      <c r="U3" s="24" t="s">
        <v>57</v>
      </c>
      <c r="V3" s="24" t="s">
        <v>74</v>
      </c>
      <c r="X3" s="24" t="s">
        <v>1</v>
      </c>
      <c r="Y3" s="8" t="s">
        <v>57</v>
      </c>
      <c r="Z3" s="24" t="s">
        <v>74</v>
      </c>
    </row>
    <row r="4" spans="1:26" x14ac:dyDescent="0.3">
      <c r="A4" s="4" t="s">
        <v>6</v>
      </c>
      <c r="B4" s="4" t="s">
        <v>7</v>
      </c>
      <c r="C4" s="4">
        <v>1</v>
      </c>
      <c r="D4" s="4" t="s">
        <v>39</v>
      </c>
      <c r="E4" s="4"/>
      <c r="F4" s="4"/>
      <c r="G4" s="4"/>
      <c r="H4" s="6"/>
      <c r="I4" s="6"/>
      <c r="J4" s="4" t="s">
        <v>6</v>
      </c>
      <c r="K4" s="4">
        <v>1</v>
      </c>
      <c r="L4" s="4" t="s">
        <v>39</v>
      </c>
      <c r="M4" s="7">
        <v>7.2</v>
      </c>
      <c r="N4" s="23">
        <v>1025</v>
      </c>
      <c r="O4" s="7">
        <v>75</v>
      </c>
      <c r="P4" s="7">
        <v>100</v>
      </c>
      <c r="Q4" s="7">
        <v>86</v>
      </c>
      <c r="R4" s="7">
        <v>86</v>
      </c>
      <c r="T4" s="7" t="s">
        <v>58</v>
      </c>
      <c r="U4" s="7" t="s">
        <v>59</v>
      </c>
      <c r="V4" s="7">
        <v>12903</v>
      </c>
      <c r="X4" s="7" t="s">
        <v>58</v>
      </c>
      <c r="Y4" s="7" t="s">
        <v>59</v>
      </c>
      <c r="Z4" s="7">
        <v>2130</v>
      </c>
    </row>
    <row r="5" spans="1:26" x14ac:dyDescent="0.3">
      <c r="A5" s="4" t="s">
        <v>6</v>
      </c>
      <c r="B5" s="4" t="s">
        <v>8</v>
      </c>
      <c r="C5" s="4">
        <v>1</v>
      </c>
      <c r="D5" s="4" t="s">
        <v>39</v>
      </c>
      <c r="E5" s="4"/>
      <c r="F5" s="4"/>
      <c r="G5" s="4"/>
      <c r="H5" s="6"/>
      <c r="I5" s="6"/>
      <c r="J5" s="4" t="s">
        <v>6</v>
      </c>
      <c r="K5" s="4">
        <v>2</v>
      </c>
      <c r="L5" s="4" t="s">
        <v>39</v>
      </c>
      <c r="M5" s="7">
        <v>6.8</v>
      </c>
      <c r="N5" s="23">
        <v>1026</v>
      </c>
      <c r="O5" s="7">
        <v>72</v>
      </c>
      <c r="P5" s="7">
        <v>100</v>
      </c>
      <c r="Q5" s="7">
        <v>73</v>
      </c>
      <c r="R5" s="7">
        <v>73</v>
      </c>
      <c r="T5" s="7" t="s">
        <v>60</v>
      </c>
      <c r="U5" s="7" t="s">
        <v>61</v>
      </c>
      <c r="V5" s="7">
        <v>12447</v>
      </c>
      <c r="X5" s="7" t="s">
        <v>60</v>
      </c>
      <c r="Y5" s="7" t="s">
        <v>61</v>
      </c>
      <c r="Z5" s="7">
        <v>1274</v>
      </c>
    </row>
    <row r="6" spans="1:26" x14ac:dyDescent="0.3">
      <c r="A6" s="4" t="s">
        <v>6</v>
      </c>
      <c r="B6" s="4" t="s">
        <v>9</v>
      </c>
      <c r="C6" s="4">
        <v>1</v>
      </c>
      <c r="D6" s="4" t="s">
        <v>39</v>
      </c>
      <c r="E6" s="4"/>
      <c r="F6" s="4"/>
      <c r="G6" s="4"/>
      <c r="H6" s="6"/>
      <c r="I6" s="6"/>
      <c r="J6" s="4" t="s">
        <v>6</v>
      </c>
      <c r="K6" s="4">
        <v>3</v>
      </c>
      <c r="L6" s="4" t="s">
        <v>39</v>
      </c>
      <c r="M6" s="7">
        <v>7.5</v>
      </c>
      <c r="N6" s="23">
        <v>1026</v>
      </c>
      <c r="O6" s="7">
        <v>68</v>
      </c>
      <c r="P6" s="7">
        <v>100</v>
      </c>
      <c r="Q6" s="7">
        <v>92</v>
      </c>
      <c r="R6" s="7">
        <v>92</v>
      </c>
      <c r="T6" s="7" t="s">
        <v>62</v>
      </c>
      <c r="U6" s="7" t="s">
        <v>63</v>
      </c>
      <c r="V6" s="7">
        <v>12624</v>
      </c>
      <c r="X6" s="7" t="s">
        <v>62</v>
      </c>
      <c r="Y6" s="7" t="s">
        <v>63</v>
      </c>
      <c r="Z6" s="7">
        <v>1685</v>
      </c>
    </row>
    <row r="7" spans="1:26" x14ac:dyDescent="0.3">
      <c r="A7" s="4" t="s">
        <v>6</v>
      </c>
      <c r="B7" s="4" t="s">
        <v>10</v>
      </c>
      <c r="C7" s="4">
        <v>1</v>
      </c>
      <c r="D7" s="4" t="s">
        <v>39</v>
      </c>
      <c r="E7" s="4"/>
      <c r="F7" s="4"/>
      <c r="G7" s="4"/>
      <c r="H7" s="6"/>
      <c r="I7" s="6"/>
      <c r="J7" s="4" t="s">
        <v>6</v>
      </c>
      <c r="K7" s="4">
        <v>4</v>
      </c>
      <c r="L7" s="4" t="s">
        <v>39</v>
      </c>
      <c r="M7" s="7">
        <v>7.1</v>
      </c>
      <c r="N7" s="23">
        <v>1027</v>
      </c>
      <c r="O7" s="7">
        <v>63</v>
      </c>
      <c r="P7" s="7">
        <v>100</v>
      </c>
      <c r="Q7" s="7">
        <v>84</v>
      </c>
      <c r="R7" s="7">
        <v>84</v>
      </c>
      <c r="T7" s="7" t="s">
        <v>64</v>
      </c>
      <c r="U7" s="7" t="s">
        <v>41</v>
      </c>
      <c r="V7" s="7">
        <v>12815</v>
      </c>
      <c r="X7" s="7" t="s">
        <v>64</v>
      </c>
      <c r="Y7" s="7" t="s">
        <v>40</v>
      </c>
      <c r="Z7" s="7">
        <v>1271</v>
      </c>
    </row>
    <row r="8" spans="1:26" x14ac:dyDescent="0.3">
      <c r="J8" s="4" t="s">
        <v>6</v>
      </c>
      <c r="K8" s="4">
        <v>5</v>
      </c>
      <c r="L8" s="4" t="s">
        <v>39</v>
      </c>
      <c r="M8" s="7">
        <v>7.2</v>
      </c>
      <c r="N8" s="23">
        <v>1027</v>
      </c>
      <c r="O8" s="7">
        <v>83</v>
      </c>
      <c r="P8" s="7">
        <v>100</v>
      </c>
      <c r="Q8" s="7">
        <v>77</v>
      </c>
      <c r="R8" s="7">
        <v>77</v>
      </c>
      <c r="U8" s="8" t="s">
        <v>65</v>
      </c>
      <c r="V8" s="7">
        <v>12697</v>
      </c>
      <c r="Y8" s="8" t="s">
        <v>65</v>
      </c>
      <c r="Z8" s="7">
        <v>1590</v>
      </c>
    </row>
    <row r="9" spans="1:26" x14ac:dyDescent="0.3">
      <c r="J9" s="6"/>
      <c r="L9" s="15" t="s">
        <v>65</v>
      </c>
      <c r="M9" s="7">
        <f>AVERAGE(M4:M8)</f>
        <v>7.160000000000001</v>
      </c>
      <c r="N9" s="7">
        <f t="shared" ref="N9:R9" si="0">AVERAGE(N4:N8)</f>
        <v>1026.2</v>
      </c>
      <c r="O9" s="7">
        <f t="shared" si="0"/>
        <v>72.2</v>
      </c>
      <c r="P9" s="7">
        <f t="shared" si="0"/>
        <v>100</v>
      </c>
      <c r="Q9" s="7">
        <f t="shared" si="0"/>
        <v>82.4</v>
      </c>
      <c r="R9" s="7">
        <f t="shared" si="0"/>
        <v>82.4</v>
      </c>
    </row>
    <row r="10" spans="1:26" x14ac:dyDescent="0.3">
      <c r="J10" s="6"/>
      <c r="K10" s="6"/>
      <c r="L10" s="6"/>
    </row>
    <row r="11" spans="1:26" x14ac:dyDescent="0.3">
      <c r="J11" s="6"/>
      <c r="K11" s="6"/>
      <c r="L11" s="6"/>
    </row>
    <row r="12" spans="1:26" ht="28.8" x14ac:dyDescent="0.3">
      <c r="J12" s="3" t="s">
        <v>0</v>
      </c>
      <c r="K12" s="3" t="s">
        <v>46</v>
      </c>
      <c r="L12" s="3" t="s">
        <v>51</v>
      </c>
      <c r="M12" s="3" t="s">
        <v>70</v>
      </c>
      <c r="N12" s="3" t="s">
        <v>79</v>
      </c>
      <c r="O12" s="3" t="s">
        <v>69</v>
      </c>
      <c r="P12" s="3" t="s">
        <v>71</v>
      </c>
      <c r="Q12" s="3" t="s">
        <v>72</v>
      </c>
      <c r="R12" s="3" t="s">
        <v>73</v>
      </c>
    </row>
    <row r="13" spans="1:26" x14ac:dyDescent="0.3">
      <c r="J13" s="4" t="s">
        <v>56</v>
      </c>
      <c r="K13" s="4">
        <v>1</v>
      </c>
      <c r="L13" s="4" t="s">
        <v>39</v>
      </c>
      <c r="M13" s="7">
        <v>7.9</v>
      </c>
      <c r="N13" s="23">
        <v>1008</v>
      </c>
      <c r="O13" s="7">
        <v>97</v>
      </c>
      <c r="P13" s="7">
        <v>100</v>
      </c>
      <c r="Q13" s="7">
        <v>146</v>
      </c>
      <c r="R13" s="7">
        <v>146</v>
      </c>
    </row>
    <row r="14" spans="1:26" x14ac:dyDescent="0.3">
      <c r="J14" s="4" t="s">
        <v>56</v>
      </c>
      <c r="K14" s="4">
        <v>2</v>
      </c>
      <c r="L14" s="4" t="s">
        <v>39</v>
      </c>
      <c r="M14" s="7">
        <v>8.3000000000000007</v>
      </c>
      <c r="N14" s="23">
        <v>1009</v>
      </c>
      <c r="O14" s="7">
        <v>46</v>
      </c>
      <c r="P14" s="7">
        <v>100</v>
      </c>
      <c r="Q14" s="7">
        <v>133</v>
      </c>
      <c r="R14" s="7">
        <v>133</v>
      </c>
    </row>
    <row r="15" spans="1:26" x14ac:dyDescent="0.3">
      <c r="J15" s="4" t="s">
        <v>56</v>
      </c>
      <c r="K15" s="4">
        <v>3</v>
      </c>
      <c r="L15" s="4" t="s">
        <v>39</v>
      </c>
      <c r="M15" s="7">
        <v>7.7</v>
      </c>
      <c r="N15" s="23">
        <v>1012</v>
      </c>
      <c r="O15" s="7">
        <v>35</v>
      </c>
      <c r="P15" s="7">
        <v>100</v>
      </c>
      <c r="Q15" s="7">
        <v>75</v>
      </c>
      <c r="R15" s="7">
        <v>75</v>
      </c>
    </row>
    <row r="16" spans="1:26" x14ac:dyDescent="0.3">
      <c r="A16" s="33" t="s">
        <v>44</v>
      </c>
      <c r="J16" s="4" t="s">
        <v>56</v>
      </c>
      <c r="K16" s="4">
        <v>4</v>
      </c>
      <c r="L16" s="4" t="s">
        <v>39</v>
      </c>
      <c r="M16" s="7">
        <v>8</v>
      </c>
      <c r="N16" s="23">
        <v>1012</v>
      </c>
      <c r="O16" s="7">
        <v>55</v>
      </c>
      <c r="P16" s="7">
        <v>100</v>
      </c>
      <c r="Q16" s="7">
        <v>184</v>
      </c>
      <c r="R16" s="7">
        <v>184</v>
      </c>
    </row>
    <row r="17" spans="1:18" x14ac:dyDescent="0.3">
      <c r="A17" s="33" t="s">
        <v>80</v>
      </c>
      <c r="J17" s="4" t="s">
        <v>56</v>
      </c>
      <c r="K17" s="4">
        <v>5</v>
      </c>
      <c r="L17" s="4" t="s">
        <v>39</v>
      </c>
      <c r="M17" s="7">
        <v>7.7</v>
      </c>
      <c r="N17" s="23">
        <v>1012</v>
      </c>
      <c r="O17" s="7">
        <v>42</v>
      </c>
      <c r="P17" s="7">
        <v>100</v>
      </c>
      <c r="Q17" s="7">
        <v>86</v>
      </c>
      <c r="R17" s="7">
        <v>86</v>
      </c>
    </row>
    <row r="18" spans="1:18" x14ac:dyDescent="0.3">
      <c r="A18" s="3" t="s">
        <v>0</v>
      </c>
      <c r="B18" s="3" t="s">
        <v>1</v>
      </c>
      <c r="C18" s="3" t="s">
        <v>46</v>
      </c>
      <c r="D18" s="3" t="s">
        <v>38</v>
      </c>
      <c r="E18" s="3" t="s">
        <v>47</v>
      </c>
      <c r="F18" s="3" t="s">
        <v>48</v>
      </c>
      <c r="G18" s="3" t="s">
        <v>49</v>
      </c>
      <c r="L18" s="15" t="s">
        <v>65</v>
      </c>
      <c r="M18" s="7">
        <f>AVERAGE(M13:M17)</f>
        <v>7.92</v>
      </c>
      <c r="N18" s="7">
        <f t="shared" ref="N18:R18" si="1">AVERAGE(N13:N17)</f>
        <v>1010.6</v>
      </c>
      <c r="O18" s="7">
        <f t="shared" si="1"/>
        <v>55</v>
      </c>
      <c r="P18" s="7">
        <f t="shared" si="1"/>
        <v>100</v>
      </c>
      <c r="Q18" s="7">
        <f t="shared" si="1"/>
        <v>124.8</v>
      </c>
      <c r="R18" s="7">
        <f t="shared" si="1"/>
        <v>124.8</v>
      </c>
    </row>
    <row r="19" spans="1:18" x14ac:dyDescent="0.3">
      <c r="A19" s="4" t="s">
        <v>6</v>
      </c>
      <c r="B19" s="4" t="s">
        <v>8</v>
      </c>
      <c r="C19" s="4">
        <v>1</v>
      </c>
      <c r="D19" s="4" t="s">
        <v>39</v>
      </c>
      <c r="E19" s="12">
        <v>14964</v>
      </c>
      <c r="F19" s="7">
        <v>53412</v>
      </c>
      <c r="G19" s="7">
        <v>4881</v>
      </c>
    </row>
    <row r="20" spans="1:18" x14ac:dyDescent="0.3">
      <c r="A20" s="4" t="s">
        <v>6</v>
      </c>
      <c r="B20" s="4" t="s">
        <v>8</v>
      </c>
      <c r="C20" s="4">
        <v>2</v>
      </c>
      <c r="D20" s="4" t="s">
        <v>39</v>
      </c>
      <c r="E20" s="12">
        <v>4792</v>
      </c>
      <c r="F20" s="7">
        <v>50032</v>
      </c>
      <c r="G20" s="7">
        <v>1198</v>
      </c>
    </row>
    <row r="21" spans="1:18" x14ac:dyDescent="0.3">
      <c r="A21" s="4" t="s">
        <v>6</v>
      </c>
      <c r="B21" s="4" t="s">
        <v>8</v>
      </c>
      <c r="C21" s="4">
        <v>3</v>
      </c>
      <c r="D21" s="4" t="s">
        <v>39</v>
      </c>
      <c r="E21" s="12">
        <v>5053</v>
      </c>
      <c r="F21" s="7">
        <v>49993</v>
      </c>
      <c r="G21" s="7">
        <v>1927</v>
      </c>
    </row>
    <row r="22" spans="1:18" x14ac:dyDescent="0.3">
      <c r="A22" s="4" t="s">
        <v>6</v>
      </c>
      <c r="B22" s="4" t="s">
        <v>8</v>
      </c>
      <c r="C22" s="4">
        <v>4</v>
      </c>
      <c r="D22" s="4" t="s">
        <v>39</v>
      </c>
      <c r="E22" s="12">
        <v>4715</v>
      </c>
      <c r="F22" s="7">
        <v>55426</v>
      </c>
      <c r="G22" s="7">
        <v>1510</v>
      </c>
    </row>
    <row r="23" spans="1:18" x14ac:dyDescent="0.3">
      <c r="A23" s="4" t="s">
        <v>6</v>
      </c>
      <c r="B23" s="4" t="s">
        <v>8</v>
      </c>
      <c r="C23" s="4">
        <v>5</v>
      </c>
      <c r="D23" s="4" t="s">
        <v>39</v>
      </c>
      <c r="E23" s="12">
        <v>4783</v>
      </c>
      <c r="F23" s="7">
        <v>49806</v>
      </c>
      <c r="G23" s="7">
        <v>2056</v>
      </c>
    </row>
    <row r="24" spans="1:18" x14ac:dyDescent="0.3">
      <c r="A24" s="6"/>
      <c r="B24" s="6"/>
      <c r="D24" s="15" t="s">
        <v>65</v>
      </c>
      <c r="E24" s="12">
        <f>AVERAGE(E19:E23)</f>
        <v>6861.4</v>
      </c>
      <c r="F24" s="12">
        <f t="shared" ref="F24:G24" si="2">AVERAGE(F19:F23)</f>
        <v>51733.8</v>
      </c>
      <c r="G24" s="12">
        <f t="shared" si="2"/>
        <v>2314.4</v>
      </c>
    </row>
    <row r="26" spans="1:18" x14ac:dyDescent="0.3">
      <c r="A26" s="16" t="s">
        <v>0</v>
      </c>
      <c r="B26" s="16" t="s">
        <v>1</v>
      </c>
      <c r="C26" s="16" t="s">
        <v>46</v>
      </c>
      <c r="D26" s="16" t="s">
        <v>38</v>
      </c>
      <c r="E26" s="16" t="s">
        <v>47</v>
      </c>
      <c r="F26" s="16" t="s">
        <v>48</v>
      </c>
      <c r="G26" s="16" t="s">
        <v>49</v>
      </c>
    </row>
    <row r="27" spans="1:18" x14ac:dyDescent="0.3">
      <c r="A27" s="17" t="s">
        <v>6</v>
      </c>
      <c r="B27" s="17" t="s">
        <v>9</v>
      </c>
      <c r="C27" s="18">
        <v>1</v>
      </c>
      <c r="D27" s="17" t="s">
        <v>39</v>
      </c>
      <c r="E27" s="18">
        <v>5118</v>
      </c>
      <c r="F27" s="18">
        <v>99756</v>
      </c>
      <c r="G27" s="18">
        <v>2622</v>
      </c>
    </row>
    <row r="28" spans="1:18" x14ac:dyDescent="0.3">
      <c r="A28" s="17" t="s">
        <v>6</v>
      </c>
      <c r="B28" s="17" t="s">
        <v>9</v>
      </c>
      <c r="C28" s="18">
        <v>2</v>
      </c>
      <c r="D28" s="17" t="s">
        <v>39</v>
      </c>
      <c r="E28" s="18">
        <v>4510</v>
      </c>
      <c r="F28" s="18">
        <v>99297</v>
      </c>
      <c r="G28" s="18">
        <v>2130</v>
      </c>
    </row>
    <row r="29" spans="1:18" x14ac:dyDescent="0.3">
      <c r="A29" s="17" t="s">
        <v>6</v>
      </c>
      <c r="B29" s="17" t="s">
        <v>9</v>
      </c>
      <c r="C29" s="18">
        <v>3</v>
      </c>
      <c r="D29" s="17" t="s">
        <v>39</v>
      </c>
      <c r="E29" s="18">
        <v>3982</v>
      </c>
      <c r="F29" s="18">
        <v>103709</v>
      </c>
      <c r="G29" s="18">
        <v>2344</v>
      </c>
    </row>
    <row r="30" spans="1:18" x14ac:dyDescent="0.3">
      <c r="A30" s="17" t="s">
        <v>6</v>
      </c>
      <c r="B30" s="17" t="s">
        <v>9</v>
      </c>
      <c r="C30" s="18">
        <v>4</v>
      </c>
      <c r="D30" s="17" t="s">
        <v>39</v>
      </c>
      <c r="E30" s="18">
        <v>4668</v>
      </c>
      <c r="F30" s="18">
        <v>98940</v>
      </c>
      <c r="G30" s="18">
        <v>1440</v>
      </c>
    </row>
    <row r="31" spans="1:18" x14ac:dyDescent="0.3">
      <c r="A31" s="17" t="s">
        <v>6</v>
      </c>
      <c r="B31" s="17" t="s">
        <v>9</v>
      </c>
      <c r="C31" s="18">
        <v>5</v>
      </c>
      <c r="D31" s="17" t="s">
        <v>39</v>
      </c>
      <c r="E31" s="18">
        <v>4926</v>
      </c>
      <c r="F31" s="18">
        <v>100818</v>
      </c>
      <c r="G31" s="18">
        <v>2036</v>
      </c>
    </row>
    <row r="32" spans="1:18" x14ac:dyDescent="0.3">
      <c r="A32" s="13"/>
      <c r="B32" s="13"/>
      <c r="D32" s="19" t="s">
        <v>65</v>
      </c>
      <c r="E32" s="20">
        <f>SUM(E27:E31)</f>
        <v>23204</v>
      </c>
      <c r="F32" s="20">
        <f t="shared" ref="F32:G32" si="3">SUM(F27:F31)</f>
        <v>502520</v>
      </c>
      <c r="G32" s="20">
        <f t="shared" si="3"/>
        <v>10572</v>
      </c>
    </row>
    <row r="33" spans="1:7" x14ac:dyDescent="0.3">
      <c r="A33" s="13"/>
      <c r="B33" s="13"/>
      <c r="C33" s="13"/>
      <c r="D33" s="13"/>
      <c r="E33" s="13"/>
      <c r="F33" s="13"/>
      <c r="G33" s="13"/>
    </row>
    <row r="34" spans="1:7" x14ac:dyDescent="0.3">
      <c r="A34" s="16" t="s">
        <v>0</v>
      </c>
      <c r="B34" s="16" t="s">
        <v>1</v>
      </c>
      <c r="C34" s="16" t="s">
        <v>46</v>
      </c>
      <c r="D34" s="16" t="s">
        <v>38</v>
      </c>
      <c r="E34" s="16" t="s">
        <v>47</v>
      </c>
      <c r="F34" s="16" t="s">
        <v>48</v>
      </c>
      <c r="G34" s="16" t="s">
        <v>49</v>
      </c>
    </row>
    <row r="35" spans="1:7" x14ac:dyDescent="0.3">
      <c r="A35" s="17" t="s">
        <v>6</v>
      </c>
      <c r="B35" s="17" t="s">
        <v>10</v>
      </c>
      <c r="C35" s="18">
        <v>1</v>
      </c>
      <c r="D35" s="17" t="s">
        <v>39</v>
      </c>
      <c r="E35" s="18">
        <v>3429</v>
      </c>
      <c r="F35" s="18">
        <v>120723</v>
      </c>
      <c r="G35" s="18">
        <v>1462</v>
      </c>
    </row>
    <row r="36" spans="1:7" x14ac:dyDescent="0.3">
      <c r="A36" s="17" t="s">
        <v>6</v>
      </c>
      <c r="B36" s="17" t="s">
        <v>10</v>
      </c>
      <c r="C36" s="18">
        <v>2</v>
      </c>
      <c r="D36" s="17" t="s">
        <v>39</v>
      </c>
      <c r="E36" s="18">
        <v>3528</v>
      </c>
      <c r="F36" s="18">
        <v>138794</v>
      </c>
      <c r="G36" s="18">
        <v>1579</v>
      </c>
    </row>
    <row r="37" spans="1:7" x14ac:dyDescent="0.3">
      <c r="A37" s="17" t="s">
        <v>6</v>
      </c>
      <c r="B37" s="17" t="s">
        <v>10</v>
      </c>
      <c r="C37" s="18">
        <v>3</v>
      </c>
      <c r="D37" s="17" t="s">
        <v>39</v>
      </c>
      <c r="E37" s="18">
        <v>3324</v>
      </c>
      <c r="F37" s="18">
        <v>118621</v>
      </c>
      <c r="G37" s="18">
        <v>1450</v>
      </c>
    </row>
    <row r="38" spans="1:7" x14ac:dyDescent="0.3">
      <c r="A38" s="17" t="s">
        <v>6</v>
      </c>
      <c r="B38" s="17" t="s">
        <v>10</v>
      </c>
      <c r="C38" s="18">
        <v>4</v>
      </c>
      <c r="D38" s="17" t="s">
        <v>39</v>
      </c>
      <c r="E38" s="18">
        <v>3461</v>
      </c>
      <c r="F38" s="18">
        <v>125837</v>
      </c>
      <c r="G38" s="18">
        <v>1322</v>
      </c>
    </row>
    <row r="39" spans="1:7" x14ac:dyDescent="0.3">
      <c r="A39" s="17" t="s">
        <v>6</v>
      </c>
      <c r="B39" s="17" t="s">
        <v>10</v>
      </c>
      <c r="C39" s="18">
        <v>5</v>
      </c>
      <c r="D39" s="17" t="s">
        <v>39</v>
      </c>
      <c r="E39" s="18">
        <v>3366</v>
      </c>
      <c r="F39" s="18">
        <v>126693</v>
      </c>
      <c r="G39" s="18">
        <v>1799</v>
      </c>
    </row>
    <row r="40" spans="1:7" x14ac:dyDescent="0.3">
      <c r="A40" s="13"/>
      <c r="B40" s="13"/>
      <c r="D40" s="21" t="s">
        <v>65</v>
      </c>
      <c r="E40" s="20">
        <f>AVERAGE(E35:E39)</f>
        <v>3421.6</v>
      </c>
      <c r="F40" s="20">
        <f t="shared" ref="F40:G40" si="4">AVERAGE(F35:F39)</f>
        <v>126133.6</v>
      </c>
      <c r="G40" s="20">
        <f t="shared" si="4"/>
        <v>1522.4</v>
      </c>
    </row>
    <row r="41" spans="1:7" x14ac:dyDescent="0.3">
      <c r="A41" s="13"/>
      <c r="B41" s="13"/>
      <c r="C41" s="13"/>
      <c r="D41" s="13"/>
      <c r="E41" s="13"/>
      <c r="F41" s="13"/>
      <c r="G41" s="13"/>
    </row>
    <row r="42" spans="1:7" x14ac:dyDescent="0.3">
      <c r="A42" s="16" t="s">
        <v>0</v>
      </c>
      <c r="B42" s="16" t="s">
        <v>1</v>
      </c>
      <c r="C42" s="16" t="s">
        <v>46</v>
      </c>
      <c r="D42" s="16" t="s">
        <v>38</v>
      </c>
      <c r="E42" s="16" t="s">
        <v>47</v>
      </c>
      <c r="F42" s="16" t="s">
        <v>48</v>
      </c>
      <c r="G42" s="16" t="s">
        <v>49</v>
      </c>
    </row>
    <row r="43" spans="1:7" x14ac:dyDescent="0.3">
      <c r="A43" s="17" t="s">
        <v>6</v>
      </c>
      <c r="B43" s="17" t="s">
        <v>7</v>
      </c>
      <c r="C43" s="18">
        <v>1</v>
      </c>
      <c r="D43" s="17" t="s">
        <v>39</v>
      </c>
      <c r="E43" s="18">
        <v>1772</v>
      </c>
      <c r="F43" s="18">
        <v>36953</v>
      </c>
      <c r="G43" s="18">
        <v>1115</v>
      </c>
    </row>
    <row r="44" spans="1:7" x14ac:dyDescent="0.3">
      <c r="A44" s="17" t="s">
        <v>6</v>
      </c>
      <c r="B44" s="17" t="s">
        <v>7</v>
      </c>
      <c r="C44" s="18">
        <v>2</v>
      </c>
      <c r="D44" s="17" t="s">
        <v>39</v>
      </c>
      <c r="E44" s="18">
        <v>1707</v>
      </c>
      <c r="F44" s="18">
        <v>37453</v>
      </c>
      <c r="G44" s="18">
        <v>1171</v>
      </c>
    </row>
    <row r="45" spans="1:7" x14ac:dyDescent="0.3">
      <c r="A45" s="17" t="s">
        <v>6</v>
      </c>
      <c r="B45" s="17" t="s">
        <v>7</v>
      </c>
      <c r="C45" s="18">
        <v>3</v>
      </c>
      <c r="D45" s="17" t="s">
        <v>39</v>
      </c>
      <c r="E45" s="18">
        <v>2032</v>
      </c>
      <c r="F45" s="18">
        <v>33984</v>
      </c>
      <c r="G45" s="18">
        <v>1284</v>
      </c>
    </row>
    <row r="46" spans="1:7" x14ac:dyDescent="0.3">
      <c r="A46" s="17" t="s">
        <v>6</v>
      </c>
      <c r="B46" s="17" t="s">
        <v>7</v>
      </c>
      <c r="C46" s="18">
        <v>4</v>
      </c>
      <c r="D46" s="17" t="s">
        <v>39</v>
      </c>
      <c r="E46" s="18">
        <v>1788</v>
      </c>
      <c r="F46" s="18">
        <v>30980</v>
      </c>
      <c r="G46" s="18">
        <v>1868</v>
      </c>
    </row>
    <row r="47" spans="1:7" x14ac:dyDescent="0.3">
      <c r="A47" s="17" t="s">
        <v>6</v>
      </c>
      <c r="B47" s="17" t="s">
        <v>7</v>
      </c>
      <c r="C47" s="18">
        <v>5</v>
      </c>
      <c r="D47" s="17" t="s">
        <v>39</v>
      </c>
      <c r="E47" s="18">
        <v>1716</v>
      </c>
      <c r="F47" s="18">
        <v>41393</v>
      </c>
      <c r="G47" s="18">
        <v>1088</v>
      </c>
    </row>
    <row r="48" spans="1:7" x14ac:dyDescent="0.3">
      <c r="A48" s="13"/>
      <c r="B48" s="13"/>
      <c r="D48" s="21" t="s">
        <v>65</v>
      </c>
      <c r="E48" s="20">
        <f>AVERAGE(E43:E47)</f>
        <v>1803</v>
      </c>
      <c r="F48" s="20">
        <f t="shared" ref="F48:G48" si="5">AVERAGE(F43:F47)</f>
        <v>36152.6</v>
      </c>
      <c r="G48" s="20">
        <f t="shared" si="5"/>
        <v>1305.2</v>
      </c>
    </row>
    <row r="49" spans="1:7" x14ac:dyDescent="0.3">
      <c r="A49" s="13"/>
      <c r="B49" s="13"/>
      <c r="C49" s="13"/>
      <c r="D49" s="13"/>
      <c r="E49" s="13"/>
      <c r="F49" s="13"/>
      <c r="G49" s="13"/>
    </row>
    <row r="50" spans="1:7" x14ac:dyDescent="0.3">
      <c r="A50" s="34" t="s">
        <v>81</v>
      </c>
      <c r="B50" s="13"/>
      <c r="C50" s="13"/>
      <c r="D50" s="13"/>
      <c r="E50" s="13"/>
      <c r="F50" s="13"/>
      <c r="G50" s="13"/>
    </row>
    <row r="51" spans="1:7" x14ac:dyDescent="0.3">
      <c r="A51" s="13"/>
      <c r="B51" s="13"/>
      <c r="C51" s="13"/>
      <c r="D51" s="13"/>
      <c r="E51" s="13"/>
      <c r="F51" s="13"/>
      <c r="G51" s="13"/>
    </row>
    <row r="52" spans="1:7" x14ac:dyDescent="0.3">
      <c r="A52" s="16" t="s">
        <v>0</v>
      </c>
      <c r="B52" s="16" t="s">
        <v>1</v>
      </c>
      <c r="C52" s="16" t="s">
        <v>46</v>
      </c>
      <c r="D52" s="16" t="s">
        <v>38</v>
      </c>
      <c r="E52" s="16" t="s">
        <v>47</v>
      </c>
      <c r="F52" s="16" t="s">
        <v>48</v>
      </c>
      <c r="G52" s="16" t="s">
        <v>49</v>
      </c>
    </row>
    <row r="53" spans="1:7" x14ac:dyDescent="0.3">
      <c r="A53" s="17" t="s">
        <v>56</v>
      </c>
      <c r="B53" s="17" t="s">
        <v>8</v>
      </c>
      <c r="C53" s="18">
        <v>1</v>
      </c>
      <c r="D53" s="17" t="s">
        <v>39</v>
      </c>
      <c r="E53" s="18">
        <v>6171</v>
      </c>
      <c r="F53" s="18">
        <v>51109</v>
      </c>
      <c r="G53" s="18">
        <v>10668</v>
      </c>
    </row>
    <row r="54" spans="1:7" x14ac:dyDescent="0.3">
      <c r="A54" s="17" t="s">
        <v>56</v>
      </c>
      <c r="B54" s="17" t="s">
        <v>8</v>
      </c>
      <c r="C54" s="18">
        <v>2</v>
      </c>
      <c r="D54" s="17" t="s">
        <v>39</v>
      </c>
      <c r="E54" s="18">
        <v>8218</v>
      </c>
      <c r="F54" s="18">
        <v>50456</v>
      </c>
      <c r="G54" s="18">
        <v>10751</v>
      </c>
    </row>
    <row r="55" spans="1:7" x14ac:dyDescent="0.3">
      <c r="A55" s="17" t="s">
        <v>56</v>
      </c>
      <c r="B55" s="17" t="s">
        <v>8</v>
      </c>
      <c r="C55" s="18">
        <v>3</v>
      </c>
      <c r="D55" s="17" t="s">
        <v>39</v>
      </c>
      <c r="E55" s="18">
        <v>5396</v>
      </c>
      <c r="F55" s="18">
        <v>48690</v>
      </c>
      <c r="G55" s="18">
        <v>10720</v>
      </c>
    </row>
    <row r="56" spans="1:7" x14ac:dyDescent="0.3">
      <c r="A56" s="17" t="s">
        <v>56</v>
      </c>
      <c r="B56" s="17" t="s">
        <v>8</v>
      </c>
      <c r="C56" s="18">
        <v>4</v>
      </c>
      <c r="D56" s="17" t="s">
        <v>39</v>
      </c>
      <c r="E56" s="18">
        <v>5112</v>
      </c>
      <c r="F56" s="18">
        <v>45650</v>
      </c>
      <c r="G56" s="18">
        <v>10748</v>
      </c>
    </row>
    <row r="57" spans="1:7" x14ac:dyDescent="0.3">
      <c r="A57" s="17" t="s">
        <v>56</v>
      </c>
      <c r="B57" s="17" t="s">
        <v>8</v>
      </c>
      <c r="C57" s="18">
        <v>5</v>
      </c>
      <c r="D57" s="17" t="s">
        <v>39</v>
      </c>
      <c r="E57" s="18">
        <v>5306</v>
      </c>
      <c r="F57" s="18">
        <v>50526</v>
      </c>
      <c r="G57" s="18">
        <v>10687</v>
      </c>
    </row>
    <row r="58" spans="1:7" x14ac:dyDescent="0.3">
      <c r="A58" s="14"/>
      <c r="B58" s="14"/>
      <c r="D58" s="21" t="s">
        <v>65</v>
      </c>
      <c r="E58" s="18">
        <f>AVERAGE(E53:E57)</f>
        <v>6040.6</v>
      </c>
      <c r="F58" s="18">
        <f t="shared" ref="F58:G58" si="6">AVERAGE(F53:F57)</f>
        <v>49286.2</v>
      </c>
      <c r="G58" s="18">
        <f t="shared" si="6"/>
        <v>10714.8</v>
      </c>
    </row>
    <row r="59" spans="1:7" x14ac:dyDescent="0.3">
      <c r="A59" s="13"/>
      <c r="B59" s="13"/>
      <c r="C59" s="13"/>
      <c r="D59" s="13"/>
      <c r="E59" s="13"/>
      <c r="F59" s="13"/>
      <c r="G59" s="13"/>
    </row>
    <row r="60" spans="1:7" x14ac:dyDescent="0.3">
      <c r="A60" s="16" t="s">
        <v>0</v>
      </c>
      <c r="B60" s="16" t="s">
        <v>1</v>
      </c>
      <c r="C60" s="16" t="s">
        <v>46</v>
      </c>
      <c r="D60" s="16" t="s">
        <v>38</v>
      </c>
      <c r="E60" s="16" t="s">
        <v>47</v>
      </c>
      <c r="F60" s="16" t="s">
        <v>48</v>
      </c>
      <c r="G60" s="16" t="s">
        <v>49</v>
      </c>
    </row>
    <row r="61" spans="1:7" x14ac:dyDescent="0.3">
      <c r="A61" s="17" t="s">
        <v>56</v>
      </c>
      <c r="B61" s="17" t="s">
        <v>9</v>
      </c>
      <c r="C61" s="18">
        <v>1</v>
      </c>
      <c r="D61" s="17" t="s">
        <v>39</v>
      </c>
      <c r="E61" s="18">
        <v>4334</v>
      </c>
      <c r="F61" s="18">
        <v>125239</v>
      </c>
      <c r="G61" s="18">
        <v>11095</v>
      </c>
    </row>
    <row r="62" spans="1:7" x14ac:dyDescent="0.3">
      <c r="A62" s="17" t="s">
        <v>56</v>
      </c>
      <c r="B62" s="17" t="s">
        <v>9</v>
      </c>
      <c r="C62" s="18">
        <v>2</v>
      </c>
      <c r="D62" s="17" t="s">
        <v>39</v>
      </c>
      <c r="E62" s="18">
        <v>4587</v>
      </c>
      <c r="F62" s="18">
        <v>130629</v>
      </c>
      <c r="G62" s="18">
        <v>10862</v>
      </c>
    </row>
    <row r="63" spans="1:7" x14ac:dyDescent="0.3">
      <c r="A63" s="17" t="s">
        <v>56</v>
      </c>
      <c r="B63" s="17" t="s">
        <v>9</v>
      </c>
      <c r="C63" s="18">
        <v>3</v>
      </c>
      <c r="D63" s="17" t="s">
        <v>39</v>
      </c>
      <c r="E63" s="18">
        <v>4253</v>
      </c>
      <c r="F63" s="18">
        <v>130295</v>
      </c>
      <c r="G63" s="18">
        <v>10885</v>
      </c>
    </row>
    <row r="64" spans="1:7" x14ac:dyDescent="0.3">
      <c r="A64" s="17" t="s">
        <v>56</v>
      </c>
      <c r="B64" s="17" t="s">
        <v>9</v>
      </c>
      <c r="C64" s="18">
        <v>4</v>
      </c>
      <c r="D64" s="17" t="s">
        <v>39</v>
      </c>
      <c r="E64" s="18">
        <v>4392</v>
      </c>
      <c r="F64" s="18">
        <v>130731</v>
      </c>
      <c r="G64" s="18">
        <v>10866</v>
      </c>
    </row>
    <row r="65" spans="1:7" x14ac:dyDescent="0.3">
      <c r="A65" s="17" t="s">
        <v>56</v>
      </c>
      <c r="B65" s="17" t="s">
        <v>9</v>
      </c>
      <c r="C65" s="18">
        <v>5</v>
      </c>
      <c r="D65" s="17" t="s">
        <v>39</v>
      </c>
      <c r="E65" s="18">
        <v>4304</v>
      </c>
      <c r="F65" s="18">
        <v>130505</v>
      </c>
      <c r="G65" s="18">
        <v>10975</v>
      </c>
    </row>
    <row r="66" spans="1:7" x14ac:dyDescent="0.3">
      <c r="A66" s="14"/>
      <c r="B66" s="14"/>
      <c r="D66" s="21" t="s">
        <v>65</v>
      </c>
      <c r="E66" s="18">
        <f>AVERAGE(E61:E65)</f>
        <v>4374</v>
      </c>
      <c r="F66" s="18">
        <f t="shared" ref="F66:G66" si="7">AVERAGE(F61:F65)</f>
        <v>129479.8</v>
      </c>
      <c r="G66" s="18">
        <f t="shared" si="7"/>
        <v>10936.6</v>
      </c>
    </row>
    <row r="67" spans="1:7" x14ac:dyDescent="0.3">
      <c r="A67" s="13"/>
      <c r="B67" s="13"/>
      <c r="C67" s="13"/>
      <c r="D67" s="13"/>
      <c r="E67" s="13"/>
      <c r="F67" s="13"/>
      <c r="G67" s="13"/>
    </row>
    <row r="68" spans="1:7" x14ac:dyDescent="0.3">
      <c r="A68" s="16" t="s">
        <v>0</v>
      </c>
      <c r="B68" s="16" t="s">
        <v>1</v>
      </c>
      <c r="C68" s="16" t="s">
        <v>46</v>
      </c>
      <c r="D68" s="16" t="s">
        <v>38</v>
      </c>
      <c r="E68" s="16" t="s">
        <v>47</v>
      </c>
      <c r="F68" s="16" t="s">
        <v>48</v>
      </c>
      <c r="G68" s="16" t="s">
        <v>49</v>
      </c>
    </row>
    <row r="69" spans="1:7" x14ac:dyDescent="0.3">
      <c r="A69" s="17" t="s">
        <v>56</v>
      </c>
      <c r="B69" s="17" t="s">
        <v>10</v>
      </c>
      <c r="C69" s="18">
        <v>1</v>
      </c>
      <c r="D69" s="17" t="s">
        <v>39</v>
      </c>
      <c r="E69" s="18">
        <v>3181</v>
      </c>
      <c r="F69" s="18">
        <v>135445</v>
      </c>
      <c r="G69" s="18">
        <v>10900</v>
      </c>
    </row>
    <row r="70" spans="1:7" x14ac:dyDescent="0.3">
      <c r="A70" s="17" t="s">
        <v>56</v>
      </c>
      <c r="B70" s="17" t="s">
        <v>10</v>
      </c>
      <c r="C70" s="18">
        <v>2</v>
      </c>
      <c r="D70" s="17" t="s">
        <v>39</v>
      </c>
      <c r="E70" s="18">
        <v>3220</v>
      </c>
      <c r="F70" s="18">
        <v>136611</v>
      </c>
      <c r="G70" s="18">
        <v>10804</v>
      </c>
    </row>
    <row r="71" spans="1:7" x14ac:dyDescent="0.3">
      <c r="A71" s="17" t="s">
        <v>56</v>
      </c>
      <c r="B71" s="17" t="s">
        <v>10</v>
      </c>
      <c r="C71" s="18">
        <v>3</v>
      </c>
      <c r="D71" s="17" t="s">
        <v>39</v>
      </c>
      <c r="E71" s="18">
        <v>3163</v>
      </c>
      <c r="F71" s="18">
        <v>138091</v>
      </c>
      <c r="G71" s="18">
        <v>10795</v>
      </c>
    </row>
    <row r="72" spans="1:7" x14ac:dyDescent="0.3">
      <c r="A72" s="17" t="s">
        <v>56</v>
      </c>
      <c r="B72" s="17" t="s">
        <v>10</v>
      </c>
      <c r="C72" s="18">
        <v>4</v>
      </c>
      <c r="D72" s="17" t="s">
        <v>39</v>
      </c>
      <c r="E72" s="18">
        <v>3490</v>
      </c>
      <c r="F72" s="18">
        <v>142879</v>
      </c>
      <c r="G72" s="18">
        <v>11679</v>
      </c>
    </row>
    <row r="73" spans="1:7" x14ac:dyDescent="0.3">
      <c r="A73" s="17" t="s">
        <v>56</v>
      </c>
      <c r="B73" s="17" t="s">
        <v>10</v>
      </c>
      <c r="C73" s="18">
        <v>5</v>
      </c>
      <c r="D73" s="17" t="s">
        <v>39</v>
      </c>
      <c r="E73" s="18">
        <v>3457</v>
      </c>
      <c r="F73" s="18">
        <v>138838</v>
      </c>
      <c r="G73" s="18">
        <v>10900</v>
      </c>
    </row>
    <row r="74" spans="1:7" x14ac:dyDescent="0.3">
      <c r="A74" s="14"/>
      <c r="B74" s="14"/>
      <c r="D74" s="21" t="s">
        <v>65</v>
      </c>
      <c r="E74" s="18">
        <f>AVERAGE(E69:E73)</f>
        <v>3302.2</v>
      </c>
      <c r="F74" s="18">
        <f t="shared" ref="F74:G74" si="8">AVERAGE(F69:F73)</f>
        <v>138372.79999999999</v>
      </c>
      <c r="G74" s="18">
        <f t="shared" si="8"/>
        <v>11015.6</v>
      </c>
    </row>
    <row r="75" spans="1:7" x14ac:dyDescent="0.3">
      <c r="A75" s="13"/>
      <c r="B75" s="13"/>
      <c r="C75" s="13"/>
      <c r="D75" s="13"/>
      <c r="E75" s="13"/>
      <c r="F75" s="13"/>
      <c r="G75" s="13"/>
    </row>
    <row r="76" spans="1:7" x14ac:dyDescent="0.3">
      <c r="A76" s="16" t="s">
        <v>0</v>
      </c>
      <c r="B76" s="16" t="s">
        <v>1</v>
      </c>
      <c r="C76" s="16" t="s">
        <v>46</v>
      </c>
      <c r="D76" s="16" t="s">
        <v>38</v>
      </c>
      <c r="E76" s="16" t="s">
        <v>47</v>
      </c>
      <c r="F76" s="16" t="s">
        <v>48</v>
      </c>
      <c r="G76" s="16" t="s">
        <v>49</v>
      </c>
    </row>
    <row r="77" spans="1:7" x14ac:dyDescent="0.3">
      <c r="A77" s="17" t="s">
        <v>56</v>
      </c>
      <c r="B77" s="17" t="s">
        <v>7</v>
      </c>
      <c r="C77" s="18">
        <v>1</v>
      </c>
      <c r="D77" s="17" t="s">
        <v>39</v>
      </c>
      <c r="E77" s="18">
        <v>2677</v>
      </c>
      <c r="F77" s="18">
        <v>25916</v>
      </c>
      <c r="G77" s="18">
        <v>10684</v>
      </c>
    </row>
    <row r="78" spans="1:7" x14ac:dyDescent="0.3">
      <c r="A78" s="17" t="s">
        <v>56</v>
      </c>
      <c r="B78" s="17" t="s">
        <v>7</v>
      </c>
      <c r="C78" s="18">
        <v>2</v>
      </c>
      <c r="D78" s="17" t="s">
        <v>39</v>
      </c>
      <c r="E78" s="18">
        <v>2702</v>
      </c>
      <c r="F78" s="18">
        <v>26026</v>
      </c>
      <c r="G78" s="18">
        <v>10782</v>
      </c>
    </row>
    <row r="79" spans="1:7" x14ac:dyDescent="0.3">
      <c r="A79" s="17" t="s">
        <v>56</v>
      </c>
      <c r="B79" s="17" t="s">
        <v>7</v>
      </c>
      <c r="C79" s="18">
        <v>3</v>
      </c>
      <c r="D79" s="17" t="s">
        <v>39</v>
      </c>
      <c r="E79" s="18">
        <v>2643</v>
      </c>
      <c r="F79" s="18">
        <v>24263</v>
      </c>
      <c r="G79" s="18">
        <v>10805</v>
      </c>
    </row>
    <row r="80" spans="1:7" x14ac:dyDescent="0.3">
      <c r="A80" s="17" t="s">
        <v>56</v>
      </c>
      <c r="B80" s="17" t="s">
        <v>7</v>
      </c>
      <c r="C80" s="18">
        <v>4</v>
      </c>
      <c r="D80" s="17" t="s">
        <v>39</v>
      </c>
      <c r="E80" s="18">
        <v>2592</v>
      </c>
      <c r="F80" s="18">
        <v>25483</v>
      </c>
      <c r="G80" s="18">
        <v>10704</v>
      </c>
    </row>
    <row r="81" spans="1:7" x14ac:dyDescent="0.3">
      <c r="A81" s="17" t="s">
        <v>56</v>
      </c>
      <c r="B81" s="17" t="s">
        <v>7</v>
      </c>
      <c r="C81" s="18">
        <v>5</v>
      </c>
      <c r="D81" s="17" t="s">
        <v>39</v>
      </c>
      <c r="E81" s="18">
        <v>2592</v>
      </c>
      <c r="F81" s="18">
        <v>24814</v>
      </c>
      <c r="G81" s="18">
        <v>10706</v>
      </c>
    </row>
    <row r="82" spans="1:7" x14ac:dyDescent="0.3">
      <c r="D82" s="21" t="s">
        <v>65</v>
      </c>
      <c r="E82" s="7">
        <f>AVERAGE(E77:E81)</f>
        <v>2641.2</v>
      </c>
      <c r="F82" s="7">
        <f t="shared" ref="F82:G82" si="9">AVERAGE(F77:F81)</f>
        <v>25300.400000000001</v>
      </c>
      <c r="G82" s="7">
        <f t="shared" si="9"/>
        <v>10736.2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94CB3-2D21-4A4E-BEEF-C986F02E5AC3}">
  <dimension ref="A1:J20"/>
  <sheetViews>
    <sheetView workbookViewId="0">
      <selection activeCell="C2" sqref="C2"/>
    </sheetView>
  </sheetViews>
  <sheetFormatPr baseColWidth="10" defaultRowHeight="14.4" x14ac:dyDescent="0.3"/>
  <cols>
    <col min="2" max="2" width="12.44140625" customWidth="1"/>
  </cols>
  <sheetData>
    <row r="1" spans="1:10" ht="28.8" x14ac:dyDescent="0.3">
      <c r="A1" s="3" t="s">
        <v>0</v>
      </c>
      <c r="B1" s="3" t="s">
        <v>1</v>
      </c>
      <c r="C1" s="3" t="s">
        <v>75</v>
      </c>
      <c r="D1" s="3" t="s">
        <v>77</v>
      </c>
      <c r="E1" s="3" t="s">
        <v>76</v>
      </c>
      <c r="H1" s="5"/>
      <c r="I1" s="5"/>
      <c r="J1" s="5"/>
    </row>
    <row r="2" spans="1:10" x14ac:dyDescent="0.3">
      <c r="A2" s="4" t="s">
        <v>6</v>
      </c>
      <c r="B2" s="4" t="s">
        <v>7</v>
      </c>
      <c r="C2" s="4">
        <v>1803</v>
      </c>
      <c r="D2" s="4">
        <v>36152.6</v>
      </c>
      <c r="E2" s="4">
        <v>1305.2</v>
      </c>
    </row>
    <row r="3" spans="1:10" x14ac:dyDescent="0.3">
      <c r="A3" s="4" t="s">
        <v>6</v>
      </c>
      <c r="B3" s="4" t="s">
        <v>8</v>
      </c>
      <c r="C3" s="4">
        <v>6861.4</v>
      </c>
      <c r="D3" s="4">
        <v>51733.8</v>
      </c>
      <c r="E3" s="4">
        <v>2314.4</v>
      </c>
    </row>
    <row r="4" spans="1:10" x14ac:dyDescent="0.3">
      <c r="A4" s="4" t="s">
        <v>6</v>
      </c>
      <c r="B4" s="4" t="s">
        <v>9</v>
      </c>
      <c r="C4" s="4">
        <v>23204</v>
      </c>
      <c r="D4" s="4">
        <v>502520</v>
      </c>
      <c r="E4" s="4">
        <v>10572</v>
      </c>
    </row>
    <row r="5" spans="1:10" x14ac:dyDescent="0.3">
      <c r="A5" s="4" t="s">
        <v>6</v>
      </c>
      <c r="B5" s="4" t="s">
        <v>10</v>
      </c>
      <c r="C5" s="4">
        <v>3421.6</v>
      </c>
      <c r="D5" s="4">
        <v>126133.6</v>
      </c>
      <c r="E5" s="4">
        <v>1522.4</v>
      </c>
    </row>
    <row r="6" spans="1:10" x14ac:dyDescent="0.3">
      <c r="A6" s="4" t="s">
        <v>11</v>
      </c>
      <c r="B6" s="4" t="s">
        <v>7</v>
      </c>
      <c r="C6" s="4">
        <v>2641.2</v>
      </c>
      <c r="D6" s="4">
        <v>25300.400000000001</v>
      </c>
      <c r="E6" s="4">
        <v>10736.2</v>
      </c>
    </row>
    <row r="7" spans="1:10" x14ac:dyDescent="0.3">
      <c r="A7" s="4" t="s">
        <v>11</v>
      </c>
      <c r="B7" s="4" t="s">
        <v>8</v>
      </c>
      <c r="C7" s="4">
        <v>6040.6</v>
      </c>
      <c r="D7" s="4">
        <v>49286.2</v>
      </c>
      <c r="E7" s="4">
        <v>10714.8</v>
      </c>
    </row>
    <row r="8" spans="1:10" x14ac:dyDescent="0.3">
      <c r="A8" s="4" t="s">
        <v>11</v>
      </c>
      <c r="B8" s="4" t="s">
        <v>9</v>
      </c>
      <c r="C8" s="4">
        <v>4374</v>
      </c>
      <c r="D8" s="4">
        <v>129479.8</v>
      </c>
      <c r="E8" s="4">
        <v>10936.6</v>
      </c>
    </row>
    <row r="9" spans="1:10" x14ac:dyDescent="0.3">
      <c r="A9" s="4" t="s">
        <v>11</v>
      </c>
      <c r="B9" s="4" t="s">
        <v>10</v>
      </c>
      <c r="C9" s="4">
        <v>3302.2</v>
      </c>
      <c r="D9" s="4">
        <v>138372.79999999999</v>
      </c>
      <c r="E9" s="4">
        <v>11015.6</v>
      </c>
    </row>
    <row r="12" spans="1:10" ht="43.2" x14ac:dyDescent="0.3">
      <c r="A12" s="3" t="s">
        <v>0</v>
      </c>
      <c r="B12" s="3" t="s">
        <v>2</v>
      </c>
      <c r="C12" s="3" t="s">
        <v>78</v>
      </c>
      <c r="D12" s="3" t="s">
        <v>3</v>
      </c>
      <c r="E12" s="3" t="s">
        <v>4</v>
      </c>
      <c r="F12" s="3" t="s">
        <v>72</v>
      </c>
      <c r="G12" s="3" t="s">
        <v>73</v>
      </c>
      <c r="H12" s="3" t="s">
        <v>5</v>
      </c>
    </row>
    <row r="13" spans="1:10" x14ac:dyDescent="0.3">
      <c r="A13" s="4" t="s">
        <v>6</v>
      </c>
      <c r="B13" s="4">
        <v>7.160000000000001</v>
      </c>
      <c r="C13" s="4">
        <v>1026.2</v>
      </c>
      <c r="D13" s="4">
        <v>72.2</v>
      </c>
      <c r="E13" s="4">
        <v>100</v>
      </c>
      <c r="F13" s="4">
        <v>82.4</v>
      </c>
      <c r="G13" s="7">
        <v>82.4</v>
      </c>
      <c r="H13" s="7">
        <v>1590</v>
      </c>
    </row>
    <row r="14" spans="1:10" x14ac:dyDescent="0.3">
      <c r="A14" s="4" t="s">
        <v>11</v>
      </c>
      <c r="B14" s="4">
        <v>7.92</v>
      </c>
      <c r="C14" s="4">
        <v>1010.6</v>
      </c>
      <c r="D14" s="4">
        <v>55</v>
      </c>
      <c r="E14" s="4">
        <v>100</v>
      </c>
      <c r="F14" s="4">
        <v>124.8</v>
      </c>
      <c r="G14" s="7">
        <v>124.8</v>
      </c>
      <c r="H14" s="7">
        <v>12697</v>
      </c>
    </row>
    <row r="15" spans="1:10" x14ac:dyDescent="0.3">
      <c r="B15" s="6"/>
      <c r="C15" s="6"/>
      <c r="D15" s="6"/>
      <c r="E15" s="6"/>
      <c r="F15" s="6"/>
    </row>
    <row r="16" spans="1:10" x14ac:dyDescent="0.3">
      <c r="B16" s="5"/>
      <c r="C16" s="5"/>
      <c r="D16" s="5"/>
      <c r="E16" s="5"/>
    </row>
    <row r="17" spans="2:6" x14ac:dyDescent="0.3">
      <c r="B17" s="6"/>
      <c r="C17" s="6"/>
      <c r="D17" s="6"/>
      <c r="E17" s="6"/>
      <c r="F17" s="6"/>
    </row>
    <row r="18" spans="2:6" x14ac:dyDescent="0.3">
      <c r="B18" s="6"/>
      <c r="C18" s="6"/>
      <c r="D18" s="6"/>
      <c r="E18" s="6"/>
      <c r="F18" s="6"/>
    </row>
    <row r="19" spans="2:6" x14ac:dyDescent="0.3">
      <c r="B19" s="6"/>
      <c r="C19" s="6"/>
      <c r="D19" s="6"/>
      <c r="E19" s="6"/>
      <c r="F19" s="6"/>
    </row>
    <row r="20" spans="2:6" x14ac:dyDescent="0.3">
      <c r="B20" s="6"/>
      <c r="C20" s="6"/>
      <c r="D20" s="6"/>
      <c r="E20" s="6"/>
      <c r="F2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Configuración Experimental</vt:lpstr>
      <vt:lpstr>Metricas Estaticas</vt:lpstr>
      <vt:lpstr>Métricas Dinámicas</vt:lpstr>
      <vt:lpstr>Promedios Finales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Llamuca Calles, Henry Fabian</dc:creator>
  <cp:lastModifiedBy>s2az3</cp:lastModifiedBy>
  <dcterms:created xsi:type="dcterms:W3CDTF">2026-05-21T14:30:36Z</dcterms:created>
  <dcterms:modified xsi:type="dcterms:W3CDTF">2026-06-05T03:43:10Z</dcterms:modified>
</cp:coreProperties>
</file>